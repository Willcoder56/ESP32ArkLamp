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Perfboard Build" sheetId="2" state="visible" r:id="rId4"/>
    <sheet name="Schemati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<sst xmlns="http://schemas.openxmlformats.org/spreadsheetml/2006/main" count="107" uniqueCount="101">
  <si>
    <t xml:space="preserve">Aliexpess link</t>
  </si>
  <si>
    <t xml:space="preserve">Aliexpress name</t>
  </si>
  <si>
    <t xml:space="preserve">type</t>
  </si>
  <si>
    <t xml:space="preserve">https://www.aliexpress.us/item/3256809279430088.html?</t>
  </si>
  <si>
    <t xml:space="preserve">1-10PCS GY-302 BH1750 BH1750FVI Light Intensity Illumination Module for Arduino DC 3V-5V GY302 Sensor Module</t>
  </si>
  <si>
    <t xml:space="preserve"> 1PCS</t>
  </si>
  <si>
    <t xml:space="preserve">https://www.aliexpress.us/item/3256805451181193.html?</t>
  </si>
  <si>
    <t xml:space="preserve">Hi-Link Rohs/FCC/CE 24G HLK-LD2410 LD2410C LD2402 LD2450 LD2401 Smart Home/Hotel Human Presence Motion Sensor Radar Module</t>
  </si>
  <si>
    <t xml:space="preserve">HLK-LD2410B</t>
  </si>
  <si>
    <t xml:space="preserve">https://www.aliexpress.us/item/3256808535815297.html?</t>
  </si>
  <si>
    <t xml:space="preserve">1/2/5PCS CH224K Module Type-C QC AFC PD2.0 PD3.0 to DC Spoof Scam Fast Charge Trigger Polling Detector 5V 9V 12V 15V 20V</t>
  </si>
  <si>
    <t xml:space="preserve">https://www.aliexpress.us/item/3256810573443122.html?</t>
  </si>
  <si>
    <t xml:space="preserve">MPR121 Capacitive Touch Sensor Module 12 Key I2C Interface for Raspberry Pi ESP32 DIY Keyboard Control Panel</t>
  </si>
  <si>
    <t xml:space="preserve">https://www.aliexpress.us/item/3256805963034065.html?</t>
  </si>
  <si>
    <t xml:space="preserve">LM2596 DC DC Step Down Converter Voltage Regulator LED Display Voltmeter 4.0~40 to 1.3-37V Buck Adapter Adjustable Power Supply</t>
  </si>
  <si>
    <t xml:space="preserve">https://www.aliexpress.us/item/3256806580504872.html?</t>
  </si>
  <si>
    <t xml:space="preserve">WS2812B WS2811 WS2813 WS2815 5050 RGB Smart LED Strip Lights WS2812 Individually Addressable IC 30/60/144Pixels/Leds/m Tape</t>
  </si>
  <si>
    <t xml:space="preserve">WS2815 DC12V, Black PCB, 2m 60 IP30</t>
  </si>
  <si>
    <t xml:space="preserve">https://www.aliexpress.us/item/3256808672397473.html?</t>
  </si>
  <si>
    <t xml:space="preserve">Recessed White Silicone Tube LED Neon Light Flexible Rope Channel Diffuser WS2811 WS2812B Outdoor Waterproof Ribbon Strip Tube</t>
  </si>
  <si>
    <t xml:space="preserve">White 15x10 For 10mm, 2m</t>
  </si>
  <si>
    <t xml:space="preserve">https://www.aliexpress.us/item/3256806541189565.html?</t>
  </si>
  <si>
    <t xml:space="preserve">ESP32 S3 Development Boards with Expansion Adapter Kit 2.4G Wifi BT Module ESP32-S3WROOM1 N8R2 N16R8 44Pin Type-C ESP32-S3</t>
  </si>
  <si>
    <t xml:space="preserve"> N16R8 weld</t>
  </si>
  <si>
    <t xml:space="preserve">https://www.aliexpress.us/item/3256811751883697.html?</t>
  </si>
  <si>
    <t xml:space="preserve">3x7cm 4x6cm 5x7cm 7x9cm Double Sided Circuit Boards DIY Electronic Kit Prototype BoardsBlue Circuit Perfboard</t>
  </si>
  <si>
    <t xml:space="preserve">7x9cm</t>
  </si>
  <si>
    <t xml:space="preserve">Additional Hardware</t>
  </si>
  <si>
    <t xml:space="preserve">e.g. link to listing</t>
  </si>
  <si>
    <t xml:space="preserve">e.g. 330Ω resistor pack (WS2815 data line)</t>
  </si>
  <si>
    <t xml:space="preserve">e.g. 1PCS</t>
  </si>
  <si>
    <t xml:space="preserve">Perfboard Assembly Checklist</t>
  </si>
  <si>
    <t xml:space="preserve">Fill in the yellow status cells (dropdown) as you place, solder, and test each part. Notes column is free text.</t>
  </si>
  <si>
    <t xml:space="preserve">Component</t>
  </si>
  <si>
    <t xml:space="preserve">Net / ESP32-S3 pin</t>
  </si>
  <si>
    <t xml:space="preserve">Placed on board</t>
  </si>
  <si>
    <t xml:space="preserve">Soldered</t>
  </si>
  <si>
    <t xml:space="preserve">Continuity tested</t>
  </si>
  <si>
    <t xml:space="preserve">Notes</t>
  </si>
  <si>
    <t xml:space="preserve">ESP32-S3 DevKitC-1 (N16R8)</t>
  </si>
  <si>
    <t xml:space="preserve">5V / GND / 3V3 / GPIO4 / GPIO8 / GPIO9 / GPIO17 / GPIO18</t>
  </si>
  <si>
    <t xml:space="preserve">USB-C connector (VBUS/CC1/CC2/GND)</t>
  </si>
  <si>
    <t xml:space="preserve">VBUS_IN</t>
  </si>
  <si>
    <t xml:space="preserve">Fuse / polyfuse (~2A)</t>
  </si>
  <si>
    <t xml:space="preserve">VBUS_IN -&gt; CH224K IN</t>
  </si>
  <si>
    <t xml:space="preserve">CH224K PD trigger</t>
  </si>
  <si>
    <t xml:space="preserve">+12V (set via CFG solder-jumper)</t>
  </si>
  <si>
    <t xml:space="preserve">Bulk cap 100-220uF</t>
  </si>
  <si>
    <t xml:space="preserve">+12V near WS2815 header</t>
  </si>
  <si>
    <t xml:space="preserve">LM2596 buck</t>
  </si>
  <si>
    <t xml:space="preserve">+12V in -&gt; +5V out</t>
  </si>
  <si>
    <t xml:space="preserve">WS2815 strip header</t>
  </si>
  <si>
    <t xml:space="preserve">+12V / GND / DIN (GPIO4, via 330-470ohm resistor)</t>
  </si>
  <si>
    <t xml:space="preserve">LD2410B radar</t>
  </si>
  <si>
    <t xml:space="preserve">+5V / GND / TX-&gt;GPIO17 / RX-&gt;GPIO18</t>
  </si>
  <si>
    <t xml:space="preserve">MPR121 touch</t>
  </si>
  <si>
    <t xml:space="preserve">+3V3 / GND / SDA-&gt;GPIO8 / SCL-&gt;GPIO9 / ADDR-&gt;GND</t>
  </si>
  <si>
    <t xml:space="preserve">BH1750 ambient light sensor</t>
  </si>
  <si>
    <t xml:space="preserve">+3V3 / GND / SDA-&gt;GPIO8 / SCL-&gt;GPIO9 (shared I2C bus)</t>
  </si>
  <si>
    <t xml:space="preserve">Pull-up resistors 4.7k (SDA/SCL)</t>
  </si>
  <si>
    <t xml:space="preserve">GPIO8, GPIO9 to +3V3 (skip if onboard MPR121 already has them)</t>
  </si>
  <si>
    <t xml:space="preserve">Decoupling caps 100nF</t>
  </si>
  <si>
    <t xml:space="preserve">One at VIN/VDD of LM2596, MPR121, LD2410B</t>
  </si>
  <si>
    <t xml:space="preserve">Ground bus / common rail</t>
  </si>
  <si>
    <t xml:space="preserve">GND - all modules</t>
  </si>
  <si>
    <t xml:space="preserve">Wiring harness to lamp head</t>
  </si>
  <si>
    <t xml:space="preserve">12V, GND, DIN out to strip</t>
  </si>
  <si>
    <t xml:space="preserve">Total components</t>
  </si>
  <si>
    <t xml:space="preserve">Placed</t>
  </si>
  <si>
    <t xml:space="preserve">Tested</t>
  </si>
  <si>
    <t xml:space="preserve">% complete (tested)</t>
  </si>
  <si>
    <t xml:space="preserve">Schematic</t>
  </si>
  <si>
    <t xml:space="preserve">Quick Reference - Power Nets</t>
  </si>
  <si>
    <t xml:space="preserve">Insert &gt; Pictures once your schematic is drawn (KiCad export, hand sketch scan, etc.) and place it in the box below.</t>
  </si>
  <si>
    <t xml:space="preserve">Net</t>
  </si>
  <si>
    <t xml:space="preserve">Source</t>
  </si>
  <si>
    <t xml:space="preserve">Feeds</t>
  </si>
  <si>
    <t xml:space="preserve">USB-C VBUS</t>
  </si>
  <si>
    <t xml:space="preserve">CH224K IN</t>
  </si>
  <si>
    <t xml:space="preserve">+12V</t>
  </si>
  <si>
    <t xml:space="preserve">CH224K OUT (set to 12V)</t>
  </si>
  <si>
    <t xml:space="preserve">WS2815, LM2596 IN</t>
  </si>
  <si>
    <t xml:space="preserve">+5V</t>
  </si>
  <si>
    <t xml:space="preserve">LM2596 OUT (trim to 5.00V)</t>
  </si>
  <si>
    <t xml:space="preserve">ESP32-S3 5V, LD2410B VIN</t>
  </si>
  <si>
    <t xml:space="preserve">+3V3</t>
  </si>
  <si>
    <t xml:space="preserve">ESP32-S3 onboard reg</t>
  </si>
  <si>
    <t xml:space="preserve">MPR121 VDD</t>
  </si>
  <si>
    <t xml:space="preserve">GND</t>
  </si>
  <si>
    <t xml:space="preserve">Common</t>
  </si>
  <si>
    <t xml:space="preserve">All modules</t>
  </si>
  <si>
    <t xml:space="preserve">Quick Reference - GPIO Map</t>
  </si>
  <si>
    <t xml:space="preserve">Peripheral</t>
  </si>
  <si>
    <t xml:space="preserve">ESP32-S3 pin</t>
  </si>
  <si>
    <t xml:space="preserve">WS2815 DIN</t>
  </si>
  <si>
    <t xml:space="preserve">GPIO4</t>
  </si>
  <si>
    <t xml:space="preserve">LD2410B RX / TX</t>
  </si>
  <si>
    <t xml:space="preserve">GPIO18 / GPIO17</t>
  </si>
  <si>
    <t xml:space="preserve">MPR121 SDA / SCL</t>
  </si>
  <si>
    <t xml:space="preserve">GPIO8 / GPIO9</t>
  </si>
  <si>
    <t xml:space="preserve">Paste schematic image here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</si>
</sst>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liexpress.us/item/3256809279430088.html?spm=a2g0o.order_list.order_list_main.5.1ab01802bWjbRo&amp;gatewayAdapt=glo2usa" TargetMode="External"/><Relationship Id="rId2" Type="http://schemas.openxmlformats.org/officeDocument/2006/relationships/hyperlink" Target="https://www.aliexpress.us/item/3256805451181193.html?spm=a2g0o.order_list.order_list_main.11.46401802UrlNQP&amp;gatewayAdapt=glo2usa" TargetMode="External"/><Relationship Id="rId3" Type="http://schemas.openxmlformats.org/officeDocument/2006/relationships/hyperlink" Target="https://www.aliexpress.us/item/3256808535815297.html?spm=a2g0o.order_list.order_list_main.17.46401802UrlNQP&amp;gatewayAdapt=glo2usa" TargetMode="External"/><Relationship Id="rId4" Type="http://schemas.openxmlformats.org/officeDocument/2006/relationships/hyperlink" Target="https://www.aliexpress.us/item/3256810573443122.html?spm=a2g0o.order_list.order_list_main.29.46401802UrlNQP&amp;gatewayAdapt=glo2usa" TargetMode="External"/><Relationship Id="rId5" Type="http://schemas.openxmlformats.org/officeDocument/2006/relationships/hyperlink" Target="https://www.aliexpress.us/item/3256805963034065.html?spm=a2g0o.order_list.order_list_main.35.46401802UrlNQP&amp;gatewayAdapt=glo2usa" TargetMode="External"/><Relationship Id="rId6" Type="http://schemas.openxmlformats.org/officeDocument/2006/relationships/hyperlink" Target="https://www.aliexpress.us/item/3256806580504872.html?spm=a2g0o.order_list.order_list_main.47.46401802UrlNQP&amp;gatewayAdapt=glo2usa" TargetMode="External"/><Relationship Id="rId7" Type="http://schemas.openxmlformats.org/officeDocument/2006/relationships/hyperlink" Target="https://www.aliexpress.us/item/3256808672397473.html?spm=a2g0o.order_list.order_list_main.53.46401802UrlNQP&amp;gatewayAdapt=glo2usa" TargetMode="External"/><Relationship Id="rId8" Type="http://schemas.openxmlformats.org/officeDocument/2006/relationships/hyperlink" Target="https://www.aliexpress.us/item/3256806541189565.html?" TargetMode="External"/><Relationship Id="rId9" Type="http://schemas.openxmlformats.org/officeDocument/2006/relationships/hyperlink" Target="https://www.aliexpress.us/item/3256811751883697.html?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43.88"/>
    <col collapsed="false" customWidth="true" hidden="false" outlineLevel="0" max="2" min="2" style="1" width="111.25"/>
    <col collapsed="false" customWidth="true" hidden="false" outlineLevel="0" max="3" min="3" style="1" width="22.38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.75" hidden="false" customHeight="true" outlineLevel="0" collapsed="false">
      <c r="A2" s="3" t="s">
        <v>3</v>
      </c>
      <c r="B2" s="2" t="s">
        <v>4</v>
      </c>
      <c r="C2" s="2" t="s">
        <v>5</v>
      </c>
    </row>
    <row r="3" customFormat="false" ht="15.75" hidden="false" customHeight="true" outlineLevel="0" collapsed="false">
      <c r="A3" s="3" t="s">
        <v>6</v>
      </c>
      <c r="B3" s="2" t="s">
        <v>7</v>
      </c>
      <c r="C3" s="2" t="s">
        <v>8</v>
      </c>
    </row>
    <row r="4" customFormat="false" ht="15.75" hidden="false" customHeight="true" outlineLevel="0" collapsed="false">
      <c r="A4" s="3" t="s">
        <v>9</v>
      </c>
      <c r="B4" s="2" t="s">
        <v>10</v>
      </c>
      <c r="C4" s="2" t="s">
        <v>5</v>
      </c>
    </row>
    <row r="5" customFormat="false" ht="15.75" hidden="false" customHeight="true" outlineLevel="0" collapsed="false">
      <c r="A5" s="3" t="s">
        <v>11</v>
      </c>
      <c r="B5" s="2" t="s">
        <v>12</v>
      </c>
    </row>
    <row r="6" customFormat="false" ht="15.75" hidden="false" customHeight="true" outlineLevel="0" collapsed="false">
      <c r="A6" s="3" t="s">
        <v>13</v>
      </c>
      <c r="B6" s="2" t="s">
        <v>14</v>
      </c>
    </row>
    <row r="7" customFormat="false" ht="15.75" hidden="false" customHeight="true" outlineLevel="0" collapsed="false">
      <c r="A7" s="3" t="s">
        <v>15</v>
      </c>
      <c r="B7" s="2" t="s">
        <v>16</v>
      </c>
      <c r="C7" s="2" t="s">
        <v>17</v>
      </c>
    </row>
    <row r="8" customFormat="false" ht="15.75" hidden="false" customHeight="true" outlineLevel="0" collapsed="false">
      <c r="A8" s="3" t="s">
        <v>18</v>
      </c>
      <c r="B8" s="2" t="s">
        <v>19</v>
      </c>
      <c r="C8" s="2" t="s">
        <v>20</v>
      </c>
    </row>
    <row r="9" customFormat="false" ht="15.75" hidden="false" customHeight="true" outlineLevel="0" collapsed="false">
      <c r="A9" s="3" t="s">
        <v>21</v>
      </c>
      <c r="B9" s="2" t="s">
        <v>22</v>
      </c>
      <c r="C9" s="2" t="s">
        <v>23</v>
      </c>
    </row>
    <row r="10" customFormat="false" ht="15.75" hidden="false" customHeight="true" outlineLevel="0" collapsed="false">
      <c r="A10" s="3" t="s">
        <v>24</v>
      </c>
      <c r="B10" s="2" t="s">
        <v>25</v>
      </c>
      <c r="C10" s="2" t="s">
        <v>26</v>
      </c>
    </row>
    <row r="12" customFormat="false" ht="15.75" hidden="false" customHeight="true" outlineLevel="0" collapsed="false">
      <c r="A12" s="4" t="s">
        <v>27</v>
      </c>
      <c r="B12" s="4"/>
      <c r="C12" s="4"/>
    </row>
    <row r="13" customFormat="false" ht="15.75" hidden="false" customHeight="true" outlineLevel="0" collapsed="false">
      <c r="A13" s="5" t="s">
        <v>0</v>
      </c>
      <c r="B13" s="5" t="s">
        <v>1</v>
      </c>
      <c r="C13" s="5" t="s">
        <v>2</v>
      </c>
    </row>
    <row r="14" customFormat="false" ht="15.75" hidden="false" customHeight="true" outlineLevel="0" collapsed="false">
      <c r="A14" s="6" t="s">
        <v>28</v>
      </c>
      <c r="B14" s="6" t="s">
        <v>29</v>
      </c>
      <c r="C14" s="6" t="s">
        <v>30</v>
      </c>
    </row>
    <row r="15" customFormat="false" ht="15.75" hidden="false" customHeight="true" outlineLevel="0" collapsed="false">
      <c r="A15" s="7"/>
      <c r="B15" s="7"/>
      <c r="C15" s="7"/>
    </row>
    <row r="16" customFormat="false" ht="15.75" hidden="false" customHeight="true" outlineLevel="0" collapsed="false">
      <c r="A16" s="7"/>
      <c r="B16" s="7"/>
      <c r="C16" s="7"/>
    </row>
    <row r="17" customFormat="false" ht="15.75" hidden="false" customHeight="true" outlineLevel="0" collapsed="false">
      <c r="A17" s="7"/>
      <c r="B17" s="7"/>
      <c r="C17" s="7"/>
    </row>
    <row r="18" customFormat="false" ht="15.75" hidden="false" customHeight="true" outlineLevel="0" collapsed="false">
      <c r="A18" s="7"/>
      <c r="B18" s="7"/>
      <c r="C18" s="7"/>
    </row>
    <row r="19" customFormat="false" ht="15.75" hidden="false" customHeight="true" outlineLevel="0" collapsed="false">
      <c r="A19" s="7"/>
      <c r="B19" s="7"/>
      <c r="C19" s="7"/>
    </row>
    <row r="20" customFormat="false" ht="15.75" hidden="false" customHeight="true" outlineLevel="0" collapsed="false">
      <c r="A20" s="7"/>
      <c r="B20" s="7"/>
      <c r="C20" s="7"/>
    </row>
    <row r="21" customFormat="false" ht="15.75" hidden="false" customHeight="true" outlineLevel="0" collapsed="false">
      <c r="A21" s="7"/>
      <c r="B21" s="7"/>
      <c r="C21" s="7"/>
    </row>
    <row r="22" customFormat="false" ht="15.75" hidden="false" customHeight="true" outlineLevel="0" collapsed="false">
      <c r="A22" s="7"/>
      <c r="B22" s="7"/>
      <c r="C22" s="7"/>
    </row>
    <row r="23" customFormat="false" ht="15.75" hidden="false" customHeight="true" outlineLevel="0" collapsed="false">
      <c r="A23" s="7"/>
      <c r="B23" s="7"/>
      <c r="C23" s="7"/>
    </row>
    <row r="24" customFormat="false" ht="15.75" hidden="false" customHeight="true" outlineLevel="0" collapsed="false">
      <c r="A24" s="7"/>
      <c r="B24" s="7"/>
      <c r="C24" s="7"/>
    </row>
  </sheetData>
  <mergeCells count="1">
    <mergeCell ref="A12:C12"/>
  </mergeCells>
  <hyperlinks>
    <hyperlink ref="A2" r:id="rId1" display="https://www.aliexpress.us/item/3256809279430088.html?"/>
    <hyperlink ref="A3" r:id="rId2" display="https://www.aliexpress.us/item/3256805451181193.html?"/>
    <hyperlink ref="A4" r:id="rId3" display="https://www.aliexpress.us/item/3256808535815297.html?"/>
    <hyperlink ref="A5" r:id="rId4" display="https://www.aliexpress.us/item/3256810573443122.html?"/>
    <hyperlink ref="A6" r:id="rId5" display="https://www.aliexpress.us/item/3256805963034065.html?"/>
    <hyperlink ref="A7" r:id="rId6" display="https://www.aliexpress.us/item/3256806580504872.html?"/>
    <hyperlink ref="A8" r:id="rId7" display="https://www.aliexpress.us/item/3256808672397473.html?"/>
    <hyperlink ref="A9" r:id="rId8" display="https://www.aliexpress.us/item/3256806541189565.html?"/>
    <hyperlink ref="A10" r:id="rId9" display="https://www.aliexpress.us/item/3256811751883697.html?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45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30"/>
  </cols>
  <sheetData>
    <row r="1" customFormat="false" ht="17.25" hidden="false" customHeight="true" outlineLevel="0" collapsed="false">
      <c r="A1" s="8" t="s">
        <v>31</v>
      </c>
      <c r="B1" s="8"/>
      <c r="C1" s="8"/>
      <c r="D1" s="8"/>
      <c r="E1" s="8"/>
      <c r="F1" s="8"/>
    </row>
    <row r="2" customFormat="false" ht="15" hidden="false" customHeight="true" outlineLevel="0" collapsed="false">
      <c r="A2" s="9" t="s">
        <v>32</v>
      </c>
      <c r="B2" s="9"/>
      <c r="C2" s="9"/>
      <c r="D2" s="9"/>
      <c r="E2" s="9"/>
      <c r="F2" s="9"/>
    </row>
    <row r="4" customFormat="false" ht="15" hidden="false" customHeight="true" outlineLevel="0" collapsed="false">
      <c r="A4" s="10" t="s">
        <v>33</v>
      </c>
      <c r="B4" s="10" t="s">
        <v>34</v>
      </c>
      <c r="C4" s="10" t="s">
        <v>35</v>
      </c>
      <c r="D4" s="10" t="s">
        <v>36</v>
      </c>
      <c r="E4" s="10" t="s">
        <v>37</v>
      </c>
      <c r="F4" s="10" t="s">
        <v>38</v>
      </c>
    </row>
    <row r="5" customFormat="false" ht="15" hidden="false" customHeight="true" outlineLevel="0" collapsed="false">
      <c r="A5" s="11" t="s">
        <v>39</v>
      </c>
      <c r="B5" s="11" t="s">
        <v>40</v>
      </c>
      <c r="C5" s="7"/>
      <c r="D5" s="7"/>
      <c r="E5" s="7"/>
      <c r="F5" s="11"/>
    </row>
    <row r="6" customFormat="false" ht="15" hidden="false" customHeight="true" outlineLevel="0" collapsed="false">
      <c r="A6" s="11" t="s">
        <v>41</v>
      </c>
      <c r="B6" s="11" t="s">
        <v>42</v>
      </c>
      <c r="C6" s="7"/>
      <c r="D6" s="7"/>
      <c r="E6" s="7"/>
      <c r="F6" s="11"/>
    </row>
    <row r="7" customFormat="false" ht="15" hidden="false" customHeight="true" outlineLevel="0" collapsed="false">
      <c r="A7" s="11" t="s">
        <v>43</v>
      </c>
      <c r="B7" s="11" t="s">
        <v>44</v>
      </c>
      <c r="C7" s="7"/>
      <c r="D7" s="7"/>
      <c r="E7" s="7"/>
      <c r="F7" s="11"/>
    </row>
    <row r="8" customFormat="false" ht="15" hidden="false" customHeight="true" outlineLevel="0" collapsed="false">
      <c r="A8" s="11" t="s">
        <v>45</v>
      </c>
      <c r="B8" s="11" t="s">
        <v>46</v>
      </c>
      <c r="C8" s="7"/>
      <c r="D8" s="7"/>
      <c r="E8" s="7"/>
      <c r="F8" s="11"/>
    </row>
    <row r="9" customFormat="false" ht="15" hidden="false" customHeight="true" outlineLevel="0" collapsed="false">
      <c r="A9" s="11" t="s">
        <v>47</v>
      </c>
      <c r="B9" s="11" t="s">
        <v>48</v>
      </c>
      <c r="C9" s="7"/>
      <c r="D9" s="7"/>
      <c r="E9" s="7"/>
      <c r="F9" s="11"/>
    </row>
    <row r="10" customFormat="false" ht="15" hidden="false" customHeight="true" outlineLevel="0" collapsed="false">
      <c r="A10" s="11" t="s">
        <v>49</v>
      </c>
      <c r="B10" s="11" t="s">
        <v>50</v>
      </c>
      <c r="C10" s="7"/>
      <c r="D10" s="7"/>
      <c r="E10" s="7"/>
      <c r="F10" s="11"/>
    </row>
    <row r="11" customFormat="false" ht="15" hidden="false" customHeight="true" outlineLevel="0" collapsed="false">
      <c r="A11" s="11" t="s">
        <v>51</v>
      </c>
      <c r="B11" s="11" t="s">
        <v>52</v>
      </c>
      <c r="C11" s="7"/>
      <c r="D11" s="7"/>
      <c r="E11" s="7"/>
      <c r="F11" s="11"/>
    </row>
    <row r="12" customFormat="false" ht="15" hidden="false" customHeight="true" outlineLevel="0" collapsed="false">
      <c r="A12" s="11" t="s">
        <v>53</v>
      </c>
      <c r="B12" s="11" t="s">
        <v>54</v>
      </c>
      <c r="C12" s="7"/>
      <c r="D12" s="7"/>
      <c r="E12" s="7"/>
      <c r="F12" s="11"/>
    </row>
    <row r="13" customFormat="false" ht="15" hidden="false" customHeight="true" outlineLevel="0" collapsed="false">
      <c r="A13" s="11" t="s">
        <v>55</v>
      </c>
      <c r="B13" s="11" t="s">
        <v>56</v>
      </c>
      <c r="C13" s="7"/>
      <c r="D13" s="7"/>
      <c r="E13" s="7"/>
      <c r="F13" s="11"/>
    </row>
    <row r="14" customFormat="false" ht="15" hidden="false" customHeight="true" outlineLevel="0" collapsed="false">
      <c r="A14" s="12" t="s">
        <v>57</v>
      </c>
      <c r="B14" s="12" t="s">
        <v>58</v>
      </c>
      <c r="C14" s="13"/>
      <c r="D14" s="13"/>
      <c r="E14" s="13"/>
      <c r="F14" s="12"/>
    </row>
    <row r="15" customFormat="false" ht="15" hidden="false" customHeight="true" outlineLevel="0" collapsed="false">
      <c r="A15" s="11" t="s">
        <v>59</v>
      </c>
      <c r="B15" s="11" t="s">
        <v>60</v>
      </c>
      <c r="C15" s="7"/>
      <c r="D15" s="7"/>
      <c r="E15" s="7"/>
      <c r="F15" s="11"/>
    </row>
    <row r="16" customFormat="false" ht="15" hidden="false" customHeight="true" outlineLevel="0" collapsed="false">
      <c r="A16" s="11" t="s">
        <v>61</v>
      </c>
      <c r="B16" s="11" t="s">
        <v>62</v>
      </c>
      <c r="C16" s="7"/>
      <c r="D16" s="7"/>
      <c r="E16" s="7"/>
      <c r="F16" s="11"/>
    </row>
    <row r="17" customFormat="false" ht="15" hidden="false" customHeight="true" outlineLevel="0" collapsed="false">
      <c r="A17" s="11" t="s">
        <v>63</v>
      </c>
      <c r="B17" s="11" t="s">
        <v>64</v>
      </c>
      <c r="C17" s="7"/>
      <c r="D17" s="7"/>
      <c r="E17" s="7"/>
      <c r="F17" s="11"/>
    </row>
    <row r="18" customFormat="false" ht="15" hidden="false" customHeight="false" outlineLevel="0" collapsed="false">
      <c r="A18" s="11" t="s">
        <v>65</v>
      </c>
      <c r="B18" s="11" t="s">
        <v>66</v>
      </c>
      <c r="C18" s="7"/>
      <c r="D18" s="7"/>
      <c r="E18" s="7"/>
      <c r="F18" s="11"/>
    </row>
    <row r="20" customFormat="false" ht="15" hidden="false" customHeight="true" outlineLevel="0" collapsed="false"/>
    <row r="21" customFormat="false" ht="15" hidden="false" customHeight="true" outlineLevel="0" collapsed="false">
      <c r="A21" s="14" t="s">
        <v>67</v>
      </c>
      <c r="B21" s="5" t="n">
        <f aca="false">COUNTA(A5:A18)</f>
        <v>14</v>
      </c>
    </row>
    <row r="22" customFormat="false" ht="15" hidden="false" customHeight="true" outlineLevel="0" collapsed="false">
      <c r="A22" s="14" t="s">
        <v>68</v>
      </c>
      <c r="B22" s="5" t="n">
        <f aca="false">COUNTIF(C5:C18,"Placed")+COUNTIF(C5:C18,"Soldered")+COUNTIF(C5:C18,"Tested")</f>
        <v>0</v>
      </c>
    </row>
    <row r="23" customFormat="false" ht="15" hidden="false" customHeight="true" outlineLevel="0" collapsed="false">
      <c r="A23" s="14" t="s">
        <v>36</v>
      </c>
      <c r="B23" s="5" t="n">
        <f aca="false">COUNTIF(D5:D18,"Soldered")+COUNTIF(D5:D18,"Tested")</f>
        <v>0</v>
      </c>
    </row>
    <row r="24" customFormat="false" ht="15" hidden="false" customHeight="true" outlineLevel="0" collapsed="false">
      <c r="A24" s="14" t="s">
        <v>69</v>
      </c>
      <c r="B24" s="5" t="n">
        <f aca="false">COUNTIF(E5:E18,"Tested")</f>
        <v>0</v>
      </c>
    </row>
    <row r="25" customFormat="false" ht="15" hidden="false" customHeight="false" outlineLevel="0" collapsed="false">
      <c r="A25" s="14" t="s">
        <v>70</v>
      </c>
      <c r="B25" s="15" t="n">
        <f aca="false">B24/B21</f>
        <v>0</v>
      </c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C5:E17" type="list">
      <formula1>"Not started,Placed,Soldered,Tested"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0"/>
    <col collapsed="false" customWidth="true" hidden="false" outlineLevel="0" max="12" min="12" style="1" width="24"/>
    <col collapsed="false" customWidth="true" hidden="false" outlineLevel="0" max="14" min="13" style="1" width="26"/>
  </cols>
  <sheetData>
    <row r="1" customFormat="false" ht="17.25" hidden="false" customHeight="true" outlineLevel="0" collapsed="false">
      <c r="A1" s="8" t="s">
        <v>71</v>
      </c>
      <c r="B1" s="8"/>
      <c r="C1" s="8"/>
      <c r="D1" s="8"/>
      <c r="E1" s="8"/>
      <c r="F1" s="8"/>
      <c r="G1" s="8"/>
      <c r="H1" s="8"/>
      <c r="I1" s="8"/>
      <c r="J1" s="8"/>
      <c r="L1" s="14" t="s">
        <v>72</v>
      </c>
    </row>
    <row r="2" customFormat="false" ht="15" hidden="false" customHeight="true" outlineLevel="0" collapsed="false">
      <c r="A2" s="9" t="s">
        <v>73</v>
      </c>
      <c r="B2" s="9"/>
      <c r="C2" s="9"/>
      <c r="D2" s="9"/>
      <c r="E2" s="9"/>
      <c r="F2" s="9"/>
      <c r="G2" s="9"/>
      <c r="H2" s="9"/>
      <c r="I2" s="9"/>
      <c r="J2" s="9"/>
      <c r="L2" s="10" t="s">
        <v>74</v>
      </c>
      <c r="M2" s="10" t="s">
        <v>75</v>
      </c>
      <c r="N2" s="10" t="s">
        <v>76</v>
      </c>
    </row>
    <row r="3" customFormat="false" ht="15" hidden="false" customHeight="true" outlineLevel="0" collapsed="false">
      <c r="L3" s="11" t="s">
        <v>42</v>
      </c>
      <c r="M3" s="11" t="s">
        <v>77</v>
      </c>
      <c r="N3" s="11" t="s">
        <v>78</v>
      </c>
    </row>
    <row r="4" customFormat="false" ht="18" hidden="false" customHeight="true" outlineLevel="0" collapsed="false">
      <c r="A4" s="16"/>
      <c r="B4" s="16"/>
      <c r="C4" s="16"/>
      <c r="D4" s="16"/>
      <c r="E4" s="16"/>
      <c r="F4" s="16"/>
      <c r="G4" s="16"/>
      <c r="H4" s="16"/>
      <c r="I4" s="16"/>
      <c r="J4" s="16"/>
      <c r="L4" s="11" t="s">
        <v>79</v>
      </c>
      <c r="M4" s="11" t="s">
        <v>80</v>
      </c>
      <c r="N4" s="11" t="s">
        <v>81</v>
      </c>
    </row>
    <row r="5" customFormat="false" ht="18" hidden="false" customHeight="true" outlineLevel="0" collapsed="false">
      <c r="A5" s="16"/>
      <c r="B5" s="16"/>
      <c r="C5" s="16"/>
      <c r="D5" s="16"/>
      <c r="E5" s="16"/>
      <c r="F5" s="16"/>
      <c r="G5" s="16"/>
      <c r="H5" s="16"/>
      <c r="I5" s="16"/>
      <c r="J5" s="16"/>
      <c r="L5" s="11" t="s">
        <v>82</v>
      </c>
      <c r="M5" s="11" t="s">
        <v>83</v>
      </c>
      <c r="N5" s="11" t="s">
        <v>84</v>
      </c>
    </row>
    <row r="6" customFormat="false" ht="18" hidden="false" customHeight="true" outlineLevel="0" collapsed="false">
      <c r="A6" s="16"/>
      <c r="B6" s="16"/>
      <c r="C6" s="16"/>
      <c r="D6" s="16"/>
      <c r="E6" s="16"/>
      <c r="F6" s="16"/>
      <c r="G6" s="16"/>
      <c r="H6" s="16"/>
      <c r="I6" s="16"/>
      <c r="J6" s="16"/>
      <c r="L6" s="11" t="s">
        <v>85</v>
      </c>
      <c r="M6" s="11" t="s">
        <v>86</v>
      </c>
      <c r="N6" s="11" t="s">
        <v>87</v>
      </c>
    </row>
    <row r="7" customFormat="false" ht="18" hidden="false" customHeight="true" outlineLevel="0" collapsed="false">
      <c r="A7" s="16"/>
      <c r="B7" s="16"/>
      <c r="C7" s="16"/>
      <c r="D7" s="16"/>
      <c r="E7" s="16"/>
      <c r="F7" s="16"/>
      <c r="G7" s="16"/>
      <c r="H7" s="16"/>
      <c r="I7" s="16"/>
      <c r="J7" s="16"/>
      <c r="L7" s="11" t="s">
        <v>88</v>
      </c>
      <c r="M7" s="11" t="s">
        <v>89</v>
      </c>
      <c r="N7" s="11" t="s">
        <v>90</v>
      </c>
    </row>
    <row r="8" customFormat="false" ht="18" hidden="false" customHeight="true" outlineLevel="0" collapsed="false">
      <c r="A8" s="16"/>
      <c r="B8" s="16"/>
      <c r="C8" s="16"/>
      <c r="D8" s="16"/>
      <c r="E8" s="16"/>
      <c r="F8" s="16"/>
      <c r="G8" s="16"/>
      <c r="H8" s="16"/>
      <c r="I8" s="16"/>
      <c r="J8" s="16"/>
    </row>
    <row r="9" customFormat="false" ht="18" hidden="false" customHeight="true" outlineLevel="0" collapsed="false">
      <c r="A9" s="16"/>
      <c r="B9" s="16"/>
      <c r="C9" s="16"/>
      <c r="D9" s="16"/>
      <c r="E9" s="16"/>
      <c r="F9" s="16"/>
      <c r="G9" s="16"/>
      <c r="H9" s="16"/>
      <c r="I9" s="16"/>
      <c r="J9" s="16"/>
      <c r="L9" s="14" t="s">
        <v>91</v>
      </c>
    </row>
    <row r="10" customFormat="false" ht="18" hidden="false" customHeight="true" outlineLevel="0" collapsed="false">
      <c r="A10" s="16"/>
      <c r="B10" s="16"/>
      <c r="C10" s="16"/>
      <c r="D10" s="16"/>
      <c r="E10" s="16"/>
      <c r="F10" s="16"/>
      <c r="G10" s="16"/>
      <c r="H10" s="16"/>
      <c r="I10" s="16"/>
      <c r="J10" s="16"/>
      <c r="L10" s="10" t="s">
        <v>92</v>
      </c>
      <c r="M10" s="10" t="s">
        <v>93</v>
      </c>
    </row>
    <row r="11" customFormat="false" ht="18" hidden="false" customHeight="true" outlineLevel="0" collapsed="false">
      <c r="A11" s="16"/>
      <c r="B11" s="16"/>
      <c r="C11" s="16"/>
      <c r="D11" s="16"/>
      <c r="E11" s="16"/>
      <c r="F11" s="16"/>
      <c r="G11" s="16"/>
      <c r="H11" s="16"/>
      <c r="I11" s="16"/>
      <c r="J11" s="16"/>
      <c r="L11" s="11" t="s">
        <v>94</v>
      </c>
      <c r="M11" s="11" t="s">
        <v>95</v>
      </c>
    </row>
    <row r="12" customFormat="false" ht="18" hidden="false" customHeight="true" outlineLevel="0" collapsed="false">
      <c r="A12" s="16"/>
      <c r="B12" s="16"/>
      <c r="C12" s="16"/>
      <c r="D12" s="16"/>
      <c r="E12" s="16"/>
      <c r="F12" s="16"/>
      <c r="G12" s="16"/>
      <c r="H12" s="16"/>
      <c r="I12" s="16"/>
      <c r="J12" s="16"/>
      <c r="L12" s="11" t="s">
        <v>96</v>
      </c>
      <c r="M12" s="11" t="s">
        <v>97</v>
      </c>
    </row>
    <row r="13" customFormat="false" ht="18" hidden="false" customHeight="true" outlineLevel="0" collapsed="false">
      <c r="A13" s="16"/>
      <c r="B13" s="16"/>
      <c r="C13" s="16"/>
      <c r="D13" s="16"/>
      <c r="E13" s="16"/>
      <c r="F13" s="16"/>
      <c r="G13" s="16"/>
      <c r="H13" s="16"/>
      <c r="I13" s="16"/>
      <c r="J13" s="16"/>
      <c r="L13" s="11" t="s">
        <v>98</v>
      </c>
      <c r="M13" s="11" t="s">
        <v>99</v>
      </c>
    </row>
    <row r="14" customFormat="false" ht="18" hidden="false" customHeight="true" outlineLevel="0" collapsed="false">
      <c r="A14" s="16"/>
      <c r="B14" s="16"/>
      <c r="C14" s="16"/>
      <c r="D14" s="16"/>
      <c r="E14" s="16"/>
      <c r="F14" s="16"/>
      <c r="G14" s="16"/>
      <c r="H14" s="16"/>
      <c r="I14" s="16"/>
      <c r="J14" s="16"/>
    </row>
    <row r="15" customFormat="false" ht="18" hidden="false" customHeight="true" outlineLevel="0" collapsed="false">
      <c r="A15" s="16"/>
      <c r="B15" s="16"/>
      <c r="C15" s="16"/>
      <c r="D15" s="16"/>
      <c r="E15" s="16"/>
      <c r="F15" s="16"/>
      <c r="G15" s="16"/>
      <c r="H15" s="16"/>
      <c r="I15" s="16"/>
      <c r="J15" s="16"/>
    </row>
    <row r="16" customFormat="false" ht="18" hidden="false" customHeight="true" outlineLevel="0" collapsed="false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 customFormat="false" ht="18" hidden="false" customHeight="true" outlineLevel="0" collapsed="false">
      <c r="A17" s="16"/>
      <c r="B17" s="16"/>
      <c r="C17" s="16"/>
      <c r="D17" s="16"/>
      <c r="E17" s="17" t="s">
        <v>100</v>
      </c>
      <c r="F17" s="17"/>
      <c r="G17" s="16"/>
      <c r="H17" s="16"/>
      <c r="I17" s="16"/>
      <c r="J17" s="16"/>
    </row>
    <row r="18" customFormat="false" ht="18" hidden="false" customHeight="true" outlineLevel="0" collapsed="false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 customFormat="false" ht="18" hidden="false" customHeight="true" outlineLevel="0" collapsed="false">
      <c r="A19" s="16"/>
      <c r="B19" s="16"/>
      <c r="C19" s="16"/>
      <c r="D19" s="16"/>
      <c r="E19" s="16"/>
      <c r="F19" s="16"/>
      <c r="G19" s="16"/>
      <c r="H19" s="16"/>
      <c r="I19" s="16"/>
      <c r="J19" s="16"/>
    </row>
    <row r="20" customFormat="false" ht="18" hidden="false" customHeight="true" outlineLevel="0" collapsed="false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 customFormat="false" ht="18" hidden="false" customHeight="true" outlineLevel="0" collapsed="false">
      <c r="A21" s="16"/>
      <c r="B21" s="16"/>
      <c r="C21" s="16"/>
      <c r="D21" s="16"/>
      <c r="E21" s="16"/>
      <c r="F21" s="16"/>
      <c r="G21" s="16"/>
      <c r="H21" s="16"/>
      <c r="I21" s="16"/>
      <c r="J21" s="16"/>
    </row>
    <row r="22" customFormat="false" ht="18" hidden="false" customHeight="true" outlineLevel="0" collapsed="false">
      <c r="A22" s="16"/>
      <c r="B22" s="16"/>
      <c r="C22" s="16"/>
      <c r="D22" s="16"/>
      <c r="E22" s="16"/>
      <c r="F22" s="16"/>
      <c r="G22" s="16"/>
      <c r="H22" s="16"/>
      <c r="I22" s="16"/>
      <c r="J22" s="16"/>
    </row>
    <row r="23" customFormat="false" ht="18" hidden="false" customHeight="true" outlineLevel="0" collapsed="false">
      <c r="A23" s="16"/>
      <c r="B23" s="16"/>
      <c r="C23" s="16"/>
      <c r="D23" s="16"/>
      <c r="E23" s="16"/>
      <c r="F23" s="16"/>
      <c r="G23" s="16"/>
      <c r="H23" s="16"/>
      <c r="I23" s="16"/>
      <c r="J23" s="16"/>
    </row>
    <row r="24" customFormat="false" ht="18" hidden="false" customHeight="true" outlineLevel="0" collapsed="false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customFormat="false" ht="18" hidden="false" customHeight="true" outlineLevel="0" collapsed="false">
      <c r="A25" s="16"/>
      <c r="B25" s="16"/>
      <c r="C25" s="16"/>
      <c r="D25" s="16"/>
      <c r="E25" s="16"/>
      <c r="F25" s="16"/>
      <c r="G25" s="16"/>
      <c r="H25" s="16"/>
      <c r="I25" s="16"/>
      <c r="J25" s="16"/>
    </row>
    <row r="26" customFormat="false" ht="18" hidden="false" customHeight="true" outlineLevel="0" collapsed="false">
      <c r="A26" s="16"/>
      <c r="B26" s="16"/>
      <c r="C26" s="16"/>
      <c r="D26" s="16"/>
      <c r="E26" s="16"/>
      <c r="F26" s="16"/>
      <c r="G26" s="16"/>
      <c r="H26" s="16"/>
      <c r="I26" s="16"/>
      <c r="J26" s="16"/>
    </row>
    <row r="27" customFormat="false" ht="18" hidden="false" customHeight="true" outlineLevel="0" collapsed="false">
      <c r="A27" s="16"/>
      <c r="B27" s="16"/>
      <c r="C27" s="16"/>
      <c r="D27" s="16"/>
      <c r="E27" s="16"/>
      <c r="F27" s="16"/>
      <c r="G27" s="16"/>
      <c r="H27" s="16"/>
      <c r="I27" s="16"/>
      <c r="J27" s="16"/>
    </row>
    <row r="28" customFormat="false" ht="18" hidden="false" customHeight="true" outlineLevel="0" collapsed="false">
      <c r="A28" s="16"/>
      <c r="B28" s="16"/>
      <c r="C28" s="16"/>
      <c r="D28" s="16"/>
      <c r="E28" s="16"/>
      <c r="F28" s="16"/>
      <c r="G28" s="16"/>
      <c r="H28" s="16"/>
      <c r="I28" s="16"/>
      <c r="J28" s="16"/>
    </row>
    <row r="29" customFormat="false" ht="18" hidden="false" customHeight="true" outlineLevel="0" collapsed="false">
      <c r="A29" s="16"/>
      <c r="B29" s="16"/>
      <c r="C29" s="16"/>
      <c r="D29" s="16"/>
      <c r="E29" s="16"/>
      <c r="F29" s="16"/>
      <c r="G29" s="16"/>
      <c r="H29" s="16"/>
      <c r="I29" s="16"/>
      <c r="J29" s="16"/>
    </row>
    <row r="30" customFormat="false" ht="18" hidden="false" customHeight="true" outlineLevel="0" collapsed="false">
      <c r="A30" s="16"/>
      <c r="B30" s="16"/>
      <c r="C30" s="16"/>
      <c r="D30" s="16"/>
      <c r="E30" s="16"/>
      <c r="F30" s="16"/>
      <c r="G30" s="16"/>
      <c r="H30" s="16"/>
      <c r="I30" s="16"/>
      <c r="J30" s="16"/>
    </row>
  </sheetData>
  <mergeCells count="3">
    <mergeCell ref="A1:J1"/>
    <mergeCell ref="A2:J2"/>
    <mergeCell ref="E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2026-08-20T14:17:34Z</dcterms:created>
  <dc:creator>openpyxl</dc:creator>
  <dc:description/>
  <dc:language>en-US</dc:language>
  <cp:lastModifiedBy/>
  <dcterms:modified xsi:type="dcterms:W3CDTF">2026-08-20T19:12:16Z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